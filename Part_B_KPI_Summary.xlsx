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ITRPF-AAIK project\"/>
    </mc:Choice>
  </mc:AlternateContent>
  <xr:revisionPtr revIDLastSave="0" documentId="13_ncr:1_{FF4BAA94-A6DA-4FBA-9D3F-5F001FEE253D}" xr6:coauthVersionLast="47" xr6:coauthVersionMax="47" xr10:uidLastSave="{00000000-0000-0000-0000-000000000000}"/>
  <bookViews>
    <workbookView xWindow="-108" yWindow="-108" windowWidth="23256" windowHeight="12456" tabRatio="738" xr2:uid="{CDB25916-EF29-4B0A-AF46-7D5BFF2B153D}"/>
  </bookViews>
  <sheets>
    <sheet name="city_category_summary" sheetId="2" r:id="rId1"/>
    <sheet name="Revenue Pivot" sheetId="4" r:id="rId2"/>
    <sheet name="KPI Summary" sheetId="5" r:id="rId3"/>
    <sheet name="City-Category Data" sheetId="1" r:id="rId4"/>
    <sheet name="Category Reference" sheetId="3" r:id="rId5"/>
  </sheets>
  <definedNames>
    <definedName name="ExternalData_1" localSheetId="0" hidden="1">'city_category_summary'!$A$1:$E$28</definedName>
    <definedName name="ExternalData_1" localSheetId="3" hidden="1">'City-Category Data'!$A$1:$E$28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2" i="5"/>
  <c r="D3" i="5"/>
  <c r="D4" i="5"/>
  <c r="D5" i="5"/>
  <c r="D6" i="5"/>
  <c r="D7" i="5"/>
  <c r="D2" i="5"/>
  <c r="C3" i="5"/>
  <c r="C4" i="5"/>
  <c r="C5" i="5"/>
  <c r="C6" i="5"/>
  <c r="C7" i="5"/>
  <c r="C2" i="5"/>
  <c r="B7" i="5"/>
  <c r="B3" i="5"/>
  <c r="B4" i="5"/>
  <c r="B5" i="5"/>
  <c r="B6" i="5"/>
  <c r="B2" i="5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74A4F3-54C2-4BE0-8552-F2EEEFECEE9A}" keepAlive="1" name="Query - city_category_summary" description="Connection to the 'city_category_summary' query in the workbook." type="5" refreshedVersion="8" background="1" saveData="1">
    <dbPr connection="Provider=Microsoft.Mashup.OleDb.1;Data Source=$Workbook$;Location=city_category_summary;Extended Properties=&quot;&quot;" command="SELECT * FROM [city_category_summary]"/>
  </connection>
  <connection id="2" xr16:uid="{3A817C93-E631-4DA6-A807-5F1F1ED1072F}" keepAlive="1" name="Query - city_category_summary (2)" description="Connection to the 'city_category_summary (2)' query in the workbook." type="5" refreshedVersion="8" background="1" saveData="1">
    <dbPr connection="Provider=Microsoft.Mashup.OleDb.1;Data Source=$Workbook$;Location=&quot;city_category_summary (2)&quot;;Extended Properties=&quot;&quot;" command="SELECT * FROM [city_category_summary (2)]"/>
  </connection>
</connections>
</file>

<file path=xl/sharedStrings.xml><?xml version="1.0" encoding="utf-8"?>
<sst xmlns="http://schemas.openxmlformats.org/spreadsheetml/2006/main" count="158" uniqueCount="28">
  <si>
    <t>city</t>
  </si>
  <si>
    <t>category</t>
  </si>
  <si>
    <t>bookings_count</t>
  </si>
  <si>
    <t>revenue_inr</t>
  </si>
  <si>
    <t>sla_breaches</t>
  </si>
  <si>
    <t>Bengaluru</t>
  </si>
  <si>
    <t>AC Repair &amp; Service</t>
  </si>
  <si>
    <t>Deep Home Cleaning</t>
  </si>
  <si>
    <t>Electrical Repair</t>
  </si>
  <si>
    <t>Salon for Men</t>
  </si>
  <si>
    <t>Salon for Women</t>
  </si>
  <si>
    <t>Chennai</t>
  </si>
  <si>
    <t>Plumbing</t>
  </si>
  <si>
    <t>Delhi NCR</t>
  </si>
  <si>
    <t>Hyderabad</t>
  </si>
  <si>
    <t>Mumbai</t>
  </si>
  <si>
    <t>Pune</t>
  </si>
  <si>
    <t>min_price_inr</t>
  </si>
  <si>
    <t>max_price_inr</t>
  </si>
  <si>
    <t>Row Labels</t>
  </si>
  <si>
    <t>Grand Total</t>
  </si>
  <si>
    <t>Column Labels</t>
  </si>
  <si>
    <t>Sum of revenue_inr</t>
  </si>
  <si>
    <t>total_revenue</t>
  </si>
  <si>
    <t>total_sla_breaches</t>
  </si>
  <si>
    <t>category_count</t>
  </si>
  <si>
    <t>part_a_sql_total</t>
  </si>
  <si>
    <t>Matches Part A SQL total?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</si>
</sst>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87.791969444443" createdVersion="8" refreshedVersion="8" minRefreshableVersion="3" recordCount="27" xr:uid="{3C479818-9410-4E6C-9529-E42A4B0DE49D}">
  <cacheSource type="worksheet">
    <worksheetSource name="city_category_summary3"/>
  </cacheSource>
  <cacheFields count="7">
    <cacheField name="city" numFmtId="0">
      <sharedItems count="6">
        <s v="Bengaluru"/>
        <s v="Chennai"/>
        <s v="Delhi NCR"/>
        <s v="Hyderabad"/>
        <s v="Mumbai"/>
        <s v="Pune"/>
      </sharedItems>
    </cacheField>
    <cacheField name="category" numFmtId="0">
      <sharedItems count="6">
        <s v="AC Repair &amp; Service"/>
        <s v="Deep Home Cleaning"/>
        <s v="Electrical Repair"/>
        <s v="Salon for Men"/>
        <s v="Salon for Women"/>
        <s v="Plumbing"/>
      </sharedItems>
    </cacheField>
    <cacheField name="bookings_count" numFmtId="0">
      <sharedItems containsSemiMixedTypes="0" containsString="0" containsNumber="1" containsInteger="1" minValue="6" maxValue="63"/>
    </cacheField>
    <cacheField name="revenue_inr" numFmtId="0">
      <sharedItems containsSemiMixedTypes="0" containsString="0" containsNumber="1" containsInteger="1" minValue="11360" maxValue="121469"/>
    </cacheField>
    <cacheField name="sla_breaches" numFmtId="0">
      <sharedItems containsSemiMixedTypes="0" containsString="0" containsNumber="1" containsInteger="1" minValue="0" maxValue="9"/>
    </cacheField>
    <cacheField name="min_price_inr" numFmtId="0">
      <sharedItems containsSemiMixedTypes="0" containsString="0" containsNumber="1" containsInteger="1" minValue="199" maxValue="999"/>
    </cacheField>
    <cacheField name="max_price_inr" numFmtId="0">
      <sharedItems containsSemiMixedTypes="0" containsString="0" containsNumber="1" containsInteger="1" minValue="1499" maxValue="4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40"/>
    <n v="61229"/>
    <n v="7"/>
    <n v="499"/>
    <n v="2499"/>
  </r>
  <r>
    <x v="0"/>
    <x v="1"/>
    <n v="18"/>
    <n v="49592"/>
    <n v="2"/>
    <n v="999"/>
    <n v="4999"/>
  </r>
  <r>
    <x v="0"/>
    <x v="2"/>
    <n v="19"/>
    <n v="23082"/>
    <n v="3"/>
    <n v="199"/>
    <n v="1999"/>
  </r>
  <r>
    <x v="0"/>
    <x v="3"/>
    <n v="14"/>
    <n v="13565"/>
    <n v="3"/>
    <n v="349"/>
    <n v="1499"/>
  </r>
  <r>
    <x v="0"/>
    <x v="4"/>
    <n v="16"/>
    <n v="32367"/>
    <n v="2"/>
    <n v="699"/>
    <n v="3499"/>
  </r>
  <r>
    <x v="1"/>
    <x v="1"/>
    <n v="37"/>
    <n v="109499"/>
    <n v="5"/>
    <n v="999"/>
    <n v="4999"/>
  </r>
  <r>
    <x v="1"/>
    <x v="2"/>
    <n v="13"/>
    <n v="13044"/>
    <n v="1"/>
    <n v="199"/>
    <n v="1999"/>
  </r>
  <r>
    <x v="1"/>
    <x v="5"/>
    <n v="63"/>
    <n v="53029"/>
    <n v="9"/>
    <n v="199"/>
    <n v="1499"/>
  </r>
  <r>
    <x v="2"/>
    <x v="0"/>
    <n v="14"/>
    <n v="22760"/>
    <n v="0"/>
    <n v="499"/>
    <n v="2499"/>
  </r>
  <r>
    <x v="2"/>
    <x v="1"/>
    <n v="25"/>
    <n v="63041"/>
    <n v="0"/>
    <n v="999"/>
    <n v="4999"/>
  </r>
  <r>
    <x v="2"/>
    <x v="2"/>
    <n v="12"/>
    <n v="12585"/>
    <n v="1"/>
    <n v="199"/>
    <n v="1999"/>
  </r>
  <r>
    <x v="2"/>
    <x v="5"/>
    <n v="19"/>
    <n v="16065"/>
    <n v="3"/>
    <n v="199"/>
    <n v="1499"/>
  </r>
  <r>
    <x v="2"/>
    <x v="4"/>
    <n v="13"/>
    <n v="26320"/>
    <n v="2"/>
    <n v="699"/>
    <n v="3499"/>
  </r>
  <r>
    <x v="3"/>
    <x v="1"/>
    <n v="29"/>
    <n v="91425"/>
    <n v="4"/>
    <n v="999"/>
    <n v="4999"/>
  </r>
  <r>
    <x v="3"/>
    <x v="2"/>
    <n v="27"/>
    <n v="29032"/>
    <n v="3"/>
    <n v="199"/>
    <n v="1999"/>
  </r>
  <r>
    <x v="3"/>
    <x v="5"/>
    <n v="13"/>
    <n v="11743"/>
    <n v="1"/>
    <n v="199"/>
    <n v="1499"/>
  </r>
  <r>
    <x v="3"/>
    <x v="3"/>
    <n v="23"/>
    <n v="22289"/>
    <n v="5"/>
    <n v="349"/>
    <n v="1499"/>
  </r>
  <r>
    <x v="3"/>
    <x v="4"/>
    <n v="6"/>
    <n v="17149"/>
    <n v="1"/>
    <n v="699"/>
    <n v="3499"/>
  </r>
  <r>
    <x v="4"/>
    <x v="0"/>
    <n v="20"/>
    <n v="29050"/>
    <n v="4"/>
    <n v="499"/>
    <n v="2499"/>
  </r>
  <r>
    <x v="4"/>
    <x v="1"/>
    <n v="28"/>
    <n v="73938"/>
    <n v="1"/>
    <n v="999"/>
    <n v="4999"/>
  </r>
  <r>
    <x v="4"/>
    <x v="2"/>
    <n v="11"/>
    <n v="11360"/>
    <n v="2"/>
    <n v="199"/>
    <n v="1999"/>
  </r>
  <r>
    <x v="4"/>
    <x v="3"/>
    <n v="27"/>
    <n v="23901"/>
    <n v="5"/>
    <n v="349"/>
    <n v="1499"/>
  </r>
  <r>
    <x v="4"/>
    <x v="4"/>
    <n v="6"/>
    <n v="13181"/>
    <n v="1"/>
    <n v="699"/>
    <n v="3499"/>
  </r>
  <r>
    <x v="5"/>
    <x v="1"/>
    <n v="39"/>
    <n v="121469"/>
    <n v="9"/>
    <n v="999"/>
    <n v="4999"/>
  </r>
  <r>
    <x v="5"/>
    <x v="2"/>
    <n v="30"/>
    <n v="30778"/>
    <n v="3"/>
    <n v="199"/>
    <n v="1999"/>
  </r>
  <r>
    <x v="5"/>
    <x v="3"/>
    <n v="14"/>
    <n v="13808"/>
    <n v="1"/>
    <n v="349"/>
    <n v="1499"/>
  </r>
  <r>
    <x v="5"/>
    <x v="4"/>
    <n v="24"/>
    <n v="62672"/>
    <n v="1"/>
    <n v="699"/>
    <n v="3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01DE2-3F61-483C-B266-BF3C4CCF4B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1" firstHeaderRow="1" firstDataRow="2" firstDataCol="1"/>
  <pivotFields count="7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7">
        <item x="0"/>
        <item x="1"/>
        <item x="2"/>
        <item x="5"/>
        <item x="3"/>
        <item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_in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6E3AF3-894B-4706-A57D-0985AA47D349}" autoFormatId="16" applyNumberFormats="0" applyBorderFormats="0" applyFontFormats="0" applyPatternFormats="0" applyAlignmentFormats="0" applyWidthHeightFormats="0">
  <queryTableRefresh nextId="6">
    <queryTableFields count="5">
      <queryTableField id="1" name="city" tableColumnId="1"/>
      <queryTableField id="2" name="category" tableColumnId="2"/>
      <queryTableField id="3" name="bookings_count" tableColumnId="3"/>
      <queryTableField id="4" name="revenue_inr" tableColumnId="4"/>
      <queryTableField id="5" name="sla_breach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B798F64-F8A6-4A0A-8792-0734B51D0804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city" tableColumnId="1"/>
      <queryTableField id="2" name="category" tableColumnId="2"/>
      <queryTableField id="3" name="bookings_count" tableColumnId="3"/>
      <queryTableField id="4" name="revenue_inr" tableColumnId="4"/>
      <queryTableField id="5" name="sla_breaches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6722B2-FB26-4992-8B67-8D1AF66C67AD}" name="city_category_summary" displayName="city_category_summary" ref="A1:E28" tableType="queryTable" totalsRowShown="0">
  <autoFilter ref="A1:E28" xr:uid="{FB6722B2-FB26-4992-8B67-8D1AF66C67AD}"/>
  <tableColumns count="5">
    <tableColumn id="1" xr3:uid="{BB0581C4-8B16-43C2-A1AE-E11911CB4108}" uniqueName="1" name="city" queryTableFieldId="1" dataDxfId="7"/>
    <tableColumn id="2" xr3:uid="{EE2E36A9-D6A6-443E-9C15-EE09FC7CD18A}" uniqueName="2" name="category" queryTableFieldId="2" dataDxfId="6"/>
    <tableColumn id="3" xr3:uid="{6E776F82-53B1-46D1-BC6F-2982DA56BCA1}" uniqueName="3" name="bookings_count" queryTableFieldId="3"/>
    <tableColumn id="4" xr3:uid="{7CFCF38C-3EB5-488C-88B5-A15A9AC8A79F}" uniqueName="4" name="revenue_inr" queryTableFieldId="4"/>
    <tableColumn id="5" xr3:uid="{AD2AE10A-8D2E-4FE3-87A0-E229FE28C55B}" uniqueName="5" name="sla_breaches" queryTableField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E281BF-191C-4A7E-8232-33D198F2393D}" name="city_category_summary3" displayName="city_category_summary3" ref="A1:G28" tableType="queryTable" totalsRowShown="0">
  <autoFilter ref="A1:G28" xr:uid="{96E281BF-191C-4A7E-8232-33D198F2393D}"/>
  <tableColumns count="7">
    <tableColumn id="1" xr3:uid="{8670EBC3-F405-4B59-8531-E79F9E7B7671}" uniqueName="1" name="city" queryTableFieldId="1" dataDxfId="5"/>
    <tableColumn id="2" xr3:uid="{B62C681C-C6D3-4379-AA02-42B384D5D8AC}" uniqueName="2" name="category" queryTableFieldId="2" dataDxfId="4"/>
    <tableColumn id="3" xr3:uid="{8FCA2E9B-6176-455E-ABD0-A6976B388BCB}" uniqueName="3" name="bookings_count" queryTableFieldId="3"/>
    <tableColumn id="4" xr3:uid="{F0C406B7-6A17-4B39-B600-609DCD144B87}" uniqueName="4" name="revenue_inr" queryTableFieldId="4"/>
    <tableColumn id="5" xr3:uid="{B17B90F9-B5EE-4A13-B700-F2B4D946AAE7}" uniqueName="5" name="sla_breaches" queryTableFieldId="5"/>
    <tableColumn id="6" xr3:uid="{EB325E30-D0D0-47CD-A891-00280BE1DCF5}" uniqueName="6" name="min_price_inr" queryTableFieldId="6" dataDxfId="3">
      <calculatedColumnFormula>VLOOKUP(B2,'Category Reference'!$A$2:$C$7,2,FALSE)</calculatedColumnFormula>
    </tableColumn>
    <tableColumn id="7" xr3:uid="{E4C11D02-88FD-4173-8454-31FD99ECD340}" uniqueName="7" name="max_price_inr" queryTableFieldId="7" dataDxfId="2">
      <calculatedColumnFormula>VLOOKUP(B2,'Category Reference'!$A$2:$C$7,3,FALSE)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63D8-6777-4824-A2E0-546E06D99A81}">
  <dimension ref="A1:E28"/>
  <sheetViews>
    <sheetView tabSelected="1" workbookViewId="0">
      <selection activeCell="G21" sqref="G21"/>
    </sheetView>
  </sheetViews>
  <sheetFormatPr defaultRowHeight="14.4" x14ac:dyDescent="0.3"/>
  <cols>
    <col min="1" max="1" width="12.44140625" customWidth="1"/>
    <col min="2" max="2" width="21.77734375" customWidth="1"/>
    <col min="3" max="3" width="11.6640625" customWidth="1"/>
    <col min="4" max="4" width="13.33203125" bestFit="1" customWidth="1"/>
    <col min="5" max="5" width="14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40</v>
      </c>
      <c r="D2">
        <v>61229</v>
      </c>
      <c r="E2">
        <v>7</v>
      </c>
    </row>
    <row r="3" spans="1:5" x14ac:dyDescent="0.3">
      <c r="A3" t="s">
        <v>5</v>
      </c>
      <c r="B3" t="s">
        <v>7</v>
      </c>
      <c r="C3">
        <v>18</v>
      </c>
      <c r="D3">
        <v>49592</v>
      </c>
      <c r="E3">
        <v>2</v>
      </c>
    </row>
    <row r="4" spans="1:5" x14ac:dyDescent="0.3">
      <c r="A4" t="s">
        <v>5</v>
      </c>
      <c r="B4" t="s">
        <v>8</v>
      </c>
      <c r="C4">
        <v>19</v>
      </c>
      <c r="D4">
        <v>23082</v>
      </c>
      <c r="E4">
        <v>3</v>
      </c>
    </row>
    <row r="5" spans="1:5" x14ac:dyDescent="0.3">
      <c r="A5" t="s">
        <v>5</v>
      </c>
      <c r="B5" t="s">
        <v>9</v>
      </c>
      <c r="C5">
        <v>14</v>
      </c>
      <c r="D5">
        <v>13565</v>
      </c>
      <c r="E5">
        <v>3</v>
      </c>
    </row>
    <row r="6" spans="1:5" x14ac:dyDescent="0.3">
      <c r="A6" t="s">
        <v>5</v>
      </c>
      <c r="B6" t="s">
        <v>10</v>
      </c>
      <c r="C6">
        <v>16</v>
      </c>
      <c r="D6">
        <v>32367</v>
      </c>
      <c r="E6">
        <v>2</v>
      </c>
    </row>
    <row r="7" spans="1:5" x14ac:dyDescent="0.3">
      <c r="A7" t="s">
        <v>11</v>
      </c>
      <c r="B7" t="s">
        <v>7</v>
      </c>
      <c r="C7">
        <v>37</v>
      </c>
      <c r="D7">
        <v>109499</v>
      </c>
      <c r="E7">
        <v>5</v>
      </c>
    </row>
    <row r="8" spans="1:5" x14ac:dyDescent="0.3">
      <c r="A8" t="s">
        <v>11</v>
      </c>
      <c r="B8" t="s">
        <v>8</v>
      </c>
      <c r="C8">
        <v>13</v>
      </c>
      <c r="D8">
        <v>13044</v>
      </c>
      <c r="E8">
        <v>1</v>
      </c>
    </row>
    <row r="9" spans="1:5" x14ac:dyDescent="0.3">
      <c r="A9" t="s">
        <v>11</v>
      </c>
      <c r="B9" t="s">
        <v>12</v>
      </c>
      <c r="C9">
        <v>63</v>
      </c>
      <c r="D9">
        <v>53029</v>
      </c>
      <c r="E9">
        <v>9</v>
      </c>
    </row>
    <row r="10" spans="1:5" x14ac:dyDescent="0.3">
      <c r="A10" t="s">
        <v>13</v>
      </c>
      <c r="B10" t="s">
        <v>6</v>
      </c>
      <c r="C10">
        <v>14</v>
      </c>
      <c r="D10">
        <v>22760</v>
      </c>
      <c r="E10">
        <v>0</v>
      </c>
    </row>
    <row r="11" spans="1:5" x14ac:dyDescent="0.3">
      <c r="A11" t="s">
        <v>13</v>
      </c>
      <c r="B11" t="s">
        <v>7</v>
      </c>
      <c r="C11">
        <v>25</v>
      </c>
      <c r="D11">
        <v>63041</v>
      </c>
      <c r="E11">
        <v>0</v>
      </c>
    </row>
    <row r="12" spans="1:5" x14ac:dyDescent="0.3">
      <c r="A12" t="s">
        <v>13</v>
      </c>
      <c r="B12" t="s">
        <v>8</v>
      </c>
      <c r="C12">
        <v>12</v>
      </c>
      <c r="D12">
        <v>12585</v>
      </c>
      <c r="E12">
        <v>1</v>
      </c>
    </row>
    <row r="13" spans="1:5" x14ac:dyDescent="0.3">
      <c r="A13" t="s">
        <v>13</v>
      </c>
      <c r="B13" t="s">
        <v>12</v>
      </c>
      <c r="C13">
        <v>19</v>
      </c>
      <c r="D13">
        <v>16065</v>
      </c>
      <c r="E13">
        <v>3</v>
      </c>
    </row>
    <row r="14" spans="1:5" x14ac:dyDescent="0.3">
      <c r="A14" t="s">
        <v>13</v>
      </c>
      <c r="B14" t="s">
        <v>10</v>
      </c>
      <c r="C14">
        <v>13</v>
      </c>
      <c r="D14">
        <v>26320</v>
      </c>
      <c r="E14">
        <v>2</v>
      </c>
    </row>
    <row r="15" spans="1:5" x14ac:dyDescent="0.3">
      <c r="A15" t="s">
        <v>14</v>
      </c>
      <c r="B15" t="s">
        <v>7</v>
      </c>
      <c r="C15">
        <v>29</v>
      </c>
      <c r="D15">
        <v>91425</v>
      </c>
      <c r="E15">
        <v>4</v>
      </c>
    </row>
    <row r="16" spans="1:5" x14ac:dyDescent="0.3">
      <c r="A16" t="s">
        <v>14</v>
      </c>
      <c r="B16" t="s">
        <v>8</v>
      </c>
      <c r="C16">
        <v>27</v>
      </c>
      <c r="D16">
        <v>29032</v>
      </c>
      <c r="E16">
        <v>3</v>
      </c>
    </row>
    <row r="17" spans="1:5" x14ac:dyDescent="0.3">
      <c r="A17" t="s">
        <v>14</v>
      </c>
      <c r="B17" t="s">
        <v>12</v>
      </c>
      <c r="C17">
        <v>13</v>
      </c>
      <c r="D17">
        <v>11743</v>
      </c>
      <c r="E17">
        <v>1</v>
      </c>
    </row>
    <row r="18" spans="1:5" x14ac:dyDescent="0.3">
      <c r="A18" t="s">
        <v>14</v>
      </c>
      <c r="B18" t="s">
        <v>9</v>
      </c>
      <c r="C18">
        <v>23</v>
      </c>
      <c r="D18">
        <v>22289</v>
      </c>
      <c r="E18">
        <v>5</v>
      </c>
    </row>
    <row r="19" spans="1:5" x14ac:dyDescent="0.3">
      <c r="A19" t="s">
        <v>14</v>
      </c>
      <c r="B19" t="s">
        <v>10</v>
      </c>
      <c r="C19">
        <v>6</v>
      </c>
      <c r="D19">
        <v>17149</v>
      </c>
      <c r="E19">
        <v>1</v>
      </c>
    </row>
    <row r="20" spans="1:5" x14ac:dyDescent="0.3">
      <c r="A20" t="s">
        <v>15</v>
      </c>
      <c r="B20" t="s">
        <v>6</v>
      </c>
      <c r="C20">
        <v>20</v>
      </c>
      <c r="D20">
        <v>29050</v>
      </c>
      <c r="E20">
        <v>4</v>
      </c>
    </row>
    <row r="21" spans="1:5" x14ac:dyDescent="0.3">
      <c r="A21" t="s">
        <v>15</v>
      </c>
      <c r="B21" t="s">
        <v>7</v>
      </c>
      <c r="C21">
        <v>28</v>
      </c>
      <c r="D21">
        <v>73938</v>
      </c>
      <c r="E21">
        <v>1</v>
      </c>
    </row>
    <row r="22" spans="1:5" x14ac:dyDescent="0.3">
      <c r="A22" t="s">
        <v>15</v>
      </c>
      <c r="B22" t="s">
        <v>8</v>
      </c>
      <c r="C22">
        <v>11</v>
      </c>
      <c r="D22">
        <v>11360</v>
      </c>
      <c r="E22">
        <v>2</v>
      </c>
    </row>
    <row r="23" spans="1:5" x14ac:dyDescent="0.3">
      <c r="A23" t="s">
        <v>15</v>
      </c>
      <c r="B23" t="s">
        <v>9</v>
      </c>
      <c r="C23">
        <v>27</v>
      </c>
      <c r="D23">
        <v>23901</v>
      </c>
      <c r="E23">
        <v>5</v>
      </c>
    </row>
    <row r="24" spans="1:5" x14ac:dyDescent="0.3">
      <c r="A24" t="s">
        <v>15</v>
      </c>
      <c r="B24" t="s">
        <v>10</v>
      </c>
      <c r="C24">
        <v>6</v>
      </c>
      <c r="D24">
        <v>13181</v>
      </c>
      <c r="E24">
        <v>1</v>
      </c>
    </row>
    <row r="25" spans="1:5" x14ac:dyDescent="0.3">
      <c r="A25" t="s">
        <v>16</v>
      </c>
      <c r="B25" t="s">
        <v>7</v>
      </c>
      <c r="C25">
        <v>39</v>
      </c>
      <c r="D25">
        <v>121469</v>
      </c>
      <c r="E25">
        <v>9</v>
      </c>
    </row>
    <row r="26" spans="1:5" x14ac:dyDescent="0.3">
      <c r="A26" t="s">
        <v>16</v>
      </c>
      <c r="B26" t="s">
        <v>8</v>
      </c>
      <c r="C26">
        <v>30</v>
      </c>
      <c r="D26">
        <v>30778</v>
      </c>
      <c r="E26">
        <v>3</v>
      </c>
    </row>
    <row r="27" spans="1:5" x14ac:dyDescent="0.3">
      <c r="A27" t="s">
        <v>16</v>
      </c>
      <c r="B27" t="s">
        <v>9</v>
      </c>
      <c r="C27">
        <v>14</v>
      </c>
      <c r="D27">
        <v>13808</v>
      </c>
      <c r="E27">
        <v>1</v>
      </c>
    </row>
    <row r="28" spans="1:5" x14ac:dyDescent="0.3">
      <c r="A28" t="s">
        <v>16</v>
      </c>
      <c r="B28" t="s">
        <v>10</v>
      </c>
      <c r="C28">
        <v>24</v>
      </c>
      <c r="D28">
        <v>62672</v>
      </c>
      <c r="E2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EE61-F8C4-4B89-B5CE-85532626EC38}">
  <dimension ref="A3:H11"/>
  <sheetViews>
    <sheetView workbookViewId="0">
      <selection activeCell="C20" sqref="C20"/>
    </sheetView>
  </sheetViews>
  <sheetFormatPr defaultRowHeight="14.4" x14ac:dyDescent="0.3"/>
  <cols>
    <col min="1" max="1" width="17.77734375" bestFit="1" customWidth="1"/>
    <col min="2" max="2" width="17.6640625" bestFit="1" customWidth="1"/>
    <col min="3" max="3" width="18.6640625" bestFit="1" customWidth="1"/>
    <col min="4" max="4" width="14.33203125" bestFit="1" customWidth="1"/>
    <col min="5" max="5" width="9" bestFit="1" customWidth="1"/>
    <col min="6" max="6" width="12.88671875" bestFit="1" customWidth="1"/>
    <col min="7" max="7" width="15.77734375" bestFit="1" customWidth="1"/>
    <col min="8" max="8" width="10.77734375" bestFit="1" customWidth="1"/>
  </cols>
  <sheetData>
    <row r="3" spans="1:8" x14ac:dyDescent="0.3">
      <c r="A3" s="1" t="s">
        <v>22</v>
      </c>
      <c r="B3" s="1" t="s">
        <v>21</v>
      </c>
    </row>
    <row r="4" spans="1:8" x14ac:dyDescent="0.3">
      <c r="A4" s="1" t="s">
        <v>19</v>
      </c>
      <c r="B4" t="s">
        <v>6</v>
      </c>
      <c r="C4" t="s">
        <v>7</v>
      </c>
      <c r="D4" t="s">
        <v>8</v>
      </c>
      <c r="E4" t="s">
        <v>12</v>
      </c>
      <c r="F4" t="s">
        <v>9</v>
      </c>
      <c r="G4" t="s">
        <v>10</v>
      </c>
      <c r="H4" t="s">
        <v>20</v>
      </c>
    </row>
    <row r="5" spans="1:8" x14ac:dyDescent="0.3">
      <c r="A5" s="2" t="s">
        <v>5</v>
      </c>
      <c r="B5">
        <v>61229</v>
      </c>
      <c r="C5">
        <v>49592</v>
      </c>
      <c r="D5">
        <v>23082</v>
      </c>
      <c r="F5">
        <v>13565</v>
      </c>
      <c r="G5">
        <v>32367</v>
      </c>
      <c r="H5">
        <v>179835</v>
      </c>
    </row>
    <row r="6" spans="1:8" x14ac:dyDescent="0.3">
      <c r="A6" s="2" t="s">
        <v>11</v>
      </c>
      <c r="C6">
        <v>109499</v>
      </c>
      <c r="D6">
        <v>13044</v>
      </c>
      <c r="E6">
        <v>53029</v>
      </c>
      <c r="H6">
        <v>175572</v>
      </c>
    </row>
    <row r="7" spans="1:8" x14ac:dyDescent="0.3">
      <c r="A7" s="2" t="s">
        <v>13</v>
      </c>
      <c r="B7">
        <v>22760</v>
      </c>
      <c r="C7">
        <v>63041</v>
      </c>
      <c r="D7">
        <v>12585</v>
      </c>
      <c r="E7">
        <v>16065</v>
      </c>
      <c r="G7">
        <v>26320</v>
      </c>
      <c r="H7">
        <v>140771</v>
      </c>
    </row>
    <row r="8" spans="1:8" x14ac:dyDescent="0.3">
      <c r="A8" s="2" t="s">
        <v>14</v>
      </c>
      <c r="C8">
        <v>91425</v>
      </c>
      <c r="D8">
        <v>29032</v>
      </c>
      <c r="E8">
        <v>11743</v>
      </c>
      <c r="F8">
        <v>22289</v>
      </c>
      <c r="G8">
        <v>17149</v>
      </c>
      <c r="H8">
        <v>171638</v>
      </c>
    </row>
    <row r="9" spans="1:8" x14ac:dyDescent="0.3">
      <c r="A9" s="2" t="s">
        <v>15</v>
      </c>
      <c r="B9">
        <v>29050</v>
      </c>
      <c r="C9">
        <v>73938</v>
      </c>
      <c r="D9">
        <v>11360</v>
      </c>
      <c r="F9">
        <v>23901</v>
      </c>
      <c r="G9">
        <v>13181</v>
      </c>
      <c r="H9">
        <v>151430</v>
      </c>
    </row>
    <row r="10" spans="1:8" x14ac:dyDescent="0.3">
      <c r="A10" s="2" t="s">
        <v>16</v>
      </c>
      <c r="C10">
        <v>121469</v>
      </c>
      <c r="D10">
        <v>30778</v>
      </c>
      <c r="F10">
        <v>13808</v>
      </c>
      <c r="G10">
        <v>62672</v>
      </c>
      <c r="H10">
        <v>228727</v>
      </c>
    </row>
    <row r="11" spans="1:8" x14ac:dyDescent="0.3">
      <c r="A11" s="2" t="s">
        <v>20</v>
      </c>
      <c r="B11">
        <v>113039</v>
      </c>
      <c r="C11">
        <v>508964</v>
      </c>
      <c r="D11">
        <v>119881</v>
      </c>
      <c r="E11">
        <v>80837</v>
      </c>
      <c r="F11">
        <v>73563</v>
      </c>
      <c r="G11">
        <v>151689</v>
      </c>
      <c r="H11">
        <v>1047973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4E5A-717F-4054-861A-7249203EECC6}">
  <dimension ref="A1:F7"/>
  <sheetViews>
    <sheetView workbookViewId="0">
      <selection activeCell="D12" sqref="D12"/>
    </sheetView>
  </sheetViews>
  <sheetFormatPr defaultRowHeight="14.4" x14ac:dyDescent="0.3"/>
  <cols>
    <col min="2" max="2" width="15.77734375" customWidth="1"/>
    <col min="3" max="3" width="19.21875" customWidth="1"/>
    <col min="4" max="4" width="14.5546875" customWidth="1"/>
    <col min="5" max="5" width="17" customWidth="1"/>
    <col min="6" max="6" width="25.44140625" customWidth="1"/>
  </cols>
  <sheetData>
    <row r="1" spans="1:6" x14ac:dyDescent="0.3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3">
      <c r="A2" t="s">
        <v>5</v>
      </c>
      <c r="B2">
        <f>SUMIFS('City-Category Data'!D:D,'City-Category Data'!A:A,A2)</f>
        <v>179835</v>
      </c>
      <c r="C2">
        <f>SUMIFS('City-Category Data'!E:E,'City-Category Data'!A:A,A2)</f>
        <v>17</v>
      </c>
      <c r="D2">
        <f>COUNTIFS('City-Category Data'!A:A,A2)</f>
        <v>5</v>
      </c>
      <c r="E2">
        <v>179835</v>
      </c>
      <c r="F2" t="str">
        <f>IF(B2=E2,"Yes","No")</f>
        <v>Yes</v>
      </c>
    </row>
    <row r="3" spans="1:6" x14ac:dyDescent="0.3">
      <c r="A3" t="s">
        <v>11</v>
      </c>
      <c r="B3">
        <f>SUMIFS('City-Category Data'!D:D,'City-Category Data'!A:A,A3)</f>
        <v>175572</v>
      </c>
      <c r="C3">
        <f>SUMIFS('City-Category Data'!E:E,'City-Category Data'!A:A,A3)</f>
        <v>15</v>
      </c>
      <c r="D3">
        <f>COUNTIFS('City-Category Data'!A:A,A3)</f>
        <v>3</v>
      </c>
      <c r="E3">
        <v>175572</v>
      </c>
      <c r="F3" t="str">
        <f t="shared" ref="F3:F7" si="0">IF(B3=E3,"Yes","No")</f>
        <v>Yes</v>
      </c>
    </row>
    <row r="4" spans="1:6" x14ac:dyDescent="0.3">
      <c r="A4" t="s">
        <v>13</v>
      </c>
      <c r="B4">
        <f>SUMIFS('City-Category Data'!D:D,'City-Category Data'!A:A,A4)</f>
        <v>140771</v>
      </c>
      <c r="C4">
        <f>SUMIFS('City-Category Data'!E:E,'City-Category Data'!A:A,A4)</f>
        <v>6</v>
      </c>
      <c r="D4">
        <f>COUNTIFS('City-Category Data'!A:A,A4)</f>
        <v>5</v>
      </c>
      <c r="E4">
        <v>140771</v>
      </c>
      <c r="F4" t="str">
        <f t="shared" si="0"/>
        <v>Yes</v>
      </c>
    </row>
    <row r="5" spans="1:6" x14ac:dyDescent="0.3">
      <c r="A5" t="s">
        <v>14</v>
      </c>
      <c r="B5">
        <f>SUMIFS('City-Category Data'!D:D,'City-Category Data'!A:A,A5)</f>
        <v>171638</v>
      </c>
      <c r="C5">
        <f>SUMIFS('City-Category Data'!E:E,'City-Category Data'!A:A,A5)</f>
        <v>14</v>
      </c>
      <c r="D5">
        <f>COUNTIFS('City-Category Data'!A:A,A5)</f>
        <v>5</v>
      </c>
      <c r="E5">
        <v>171638</v>
      </c>
      <c r="F5" t="str">
        <f t="shared" si="0"/>
        <v>Yes</v>
      </c>
    </row>
    <row r="6" spans="1:6" x14ac:dyDescent="0.3">
      <c r="A6" t="s">
        <v>15</v>
      </c>
      <c r="B6">
        <f>SUMIFS('City-Category Data'!D:D,'City-Category Data'!A:A,A6)</f>
        <v>151430</v>
      </c>
      <c r="C6">
        <f>SUMIFS('City-Category Data'!E:E,'City-Category Data'!A:A,A6)</f>
        <v>13</v>
      </c>
      <c r="D6">
        <f>COUNTIFS('City-Category Data'!A:A,A6)</f>
        <v>5</v>
      </c>
      <c r="E6">
        <v>151430</v>
      </c>
      <c r="F6" t="str">
        <f t="shared" si="0"/>
        <v>Yes</v>
      </c>
    </row>
    <row r="7" spans="1:6" x14ac:dyDescent="0.3">
      <c r="A7" t="s">
        <v>16</v>
      </c>
      <c r="B7">
        <f>SUMIFS('City-Category Data'!D:D,'City-Category Data'!A:A,A7)</f>
        <v>228727</v>
      </c>
      <c r="C7">
        <f>SUMIFS('City-Category Data'!E:E,'City-Category Data'!A:A,A7)</f>
        <v>14</v>
      </c>
      <c r="D7">
        <f>COUNTIFS('City-Category Data'!A:A,A7)</f>
        <v>4</v>
      </c>
      <c r="E7">
        <v>228727</v>
      </c>
      <c r="F7" t="str">
        <f t="shared" si="0"/>
        <v>Yes</v>
      </c>
    </row>
  </sheetData>
  <conditionalFormatting sqref="B2:B7">
    <cfRule type="top10" dxfId="1" priority="1" rank="1"/>
    <cfRule type="top10" dxfId="0" priority="2" bottom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3201-975E-42BC-8AC5-0BC06BDAF94C}">
  <dimension ref="A1:G28"/>
  <sheetViews>
    <sheetView workbookViewId="0">
      <selection activeCell="D13" sqref="D13"/>
    </sheetView>
  </sheetViews>
  <sheetFormatPr defaultRowHeight="14.4" x14ac:dyDescent="0.3"/>
  <cols>
    <col min="1" max="1" width="12.44140625" customWidth="1"/>
    <col min="2" max="2" width="19.109375" customWidth="1"/>
    <col min="3" max="3" width="18.77734375" customWidth="1"/>
    <col min="4" max="4" width="15.5546875" customWidth="1"/>
    <col min="5" max="5" width="18.33203125" customWidth="1"/>
    <col min="6" max="6" width="15.5546875" customWidth="1"/>
    <col min="7" max="7" width="20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</row>
    <row r="2" spans="1:7" x14ac:dyDescent="0.3">
      <c r="A2" t="s">
        <v>5</v>
      </c>
      <c r="B2" t="s">
        <v>6</v>
      </c>
      <c r="C2">
        <v>40</v>
      </c>
      <c r="D2">
        <v>61229</v>
      </c>
      <c r="E2">
        <v>7</v>
      </c>
      <c r="F2">
        <f>VLOOKUP(B2,'Category Reference'!$A$2:$C$7,2,FALSE)</f>
        <v>499</v>
      </c>
      <c r="G2">
        <f>VLOOKUP(B2,'Category Reference'!$A$2:$C$7,3,FALSE)</f>
        <v>2499</v>
      </c>
    </row>
    <row r="3" spans="1:7" x14ac:dyDescent="0.3">
      <c r="A3" t="s">
        <v>5</v>
      </c>
      <c r="B3" t="s">
        <v>7</v>
      </c>
      <c r="C3">
        <v>18</v>
      </c>
      <c r="D3">
        <v>49592</v>
      </c>
      <c r="E3">
        <v>2</v>
      </c>
      <c r="F3">
        <f>VLOOKUP(B3,'Category Reference'!$A$2:$C$7,2,FALSE)</f>
        <v>999</v>
      </c>
      <c r="G3">
        <f>VLOOKUP(B3,'Category Reference'!$A$2:$C$7,3,FALSE)</f>
        <v>4999</v>
      </c>
    </row>
    <row r="4" spans="1:7" x14ac:dyDescent="0.3">
      <c r="A4" t="s">
        <v>5</v>
      </c>
      <c r="B4" t="s">
        <v>8</v>
      </c>
      <c r="C4">
        <v>19</v>
      </c>
      <c r="D4">
        <v>23082</v>
      </c>
      <c r="E4">
        <v>3</v>
      </c>
      <c r="F4">
        <f>VLOOKUP(B4,'Category Reference'!$A$2:$C$7,2,FALSE)</f>
        <v>199</v>
      </c>
      <c r="G4">
        <f>VLOOKUP(B4,'Category Reference'!$A$2:$C$7,3,FALSE)</f>
        <v>1999</v>
      </c>
    </row>
    <row r="5" spans="1:7" x14ac:dyDescent="0.3">
      <c r="A5" t="s">
        <v>5</v>
      </c>
      <c r="B5" t="s">
        <v>9</v>
      </c>
      <c r="C5">
        <v>14</v>
      </c>
      <c r="D5">
        <v>13565</v>
      </c>
      <c r="E5">
        <v>3</v>
      </c>
      <c r="F5">
        <f>VLOOKUP(B5,'Category Reference'!$A$2:$C$7,2,FALSE)</f>
        <v>349</v>
      </c>
      <c r="G5">
        <f>VLOOKUP(B5,'Category Reference'!$A$2:$C$7,3,FALSE)</f>
        <v>1499</v>
      </c>
    </row>
    <row r="6" spans="1:7" x14ac:dyDescent="0.3">
      <c r="A6" t="s">
        <v>5</v>
      </c>
      <c r="B6" t="s">
        <v>10</v>
      </c>
      <c r="C6">
        <v>16</v>
      </c>
      <c r="D6">
        <v>32367</v>
      </c>
      <c r="E6">
        <v>2</v>
      </c>
      <c r="F6">
        <f>VLOOKUP(B6,'Category Reference'!$A$2:$C$7,2,FALSE)</f>
        <v>699</v>
      </c>
      <c r="G6">
        <f>VLOOKUP(B6,'Category Reference'!$A$2:$C$7,3,FALSE)</f>
        <v>3499</v>
      </c>
    </row>
    <row r="7" spans="1:7" x14ac:dyDescent="0.3">
      <c r="A7" t="s">
        <v>11</v>
      </c>
      <c r="B7" t="s">
        <v>7</v>
      </c>
      <c r="C7">
        <v>37</v>
      </c>
      <c r="D7">
        <v>109499</v>
      </c>
      <c r="E7">
        <v>5</v>
      </c>
      <c r="F7">
        <f>VLOOKUP(B7,'Category Reference'!$A$2:$C$7,2,FALSE)</f>
        <v>999</v>
      </c>
      <c r="G7">
        <f>VLOOKUP(B7,'Category Reference'!$A$2:$C$7,3,FALSE)</f>
        <v>4999</v>
      </c>
    </row>
    <row r="8" spans="1:7" x14ac:dyDescent="0.3">
      <c r="A8" t="s">
        <v>11</v>
      </c>
      <c r="B8" t="s">
        <v>8</v>
      </c>
      <c r="C8">
        <v>13</v>
      </c>
      <c r="D8">
        <v>13044</v>
      </c>
      <c r="E8">
        <v>1</v>
      </c>
      <c r="F8">
        <f>VLOOKUP(B8,'Category Reference'!$A$2:$C$7,2,FALSE)</f>
        <v>199</v>
      </c>
      <c r="G8">
        <f>VLOOKUP(B8,'Category Reference'!$A$2:$C$7,3,FALSE)</f>
        <v>1999</v>
      </c>
    </row>
    <row r="9" spans="1:7" x14ac:dyDescent="0.3">
      <c r="A9" t="s">
        <v>11</v>
      </c>
      <c r="B9" t="s">
        <v>12</v>
      </c>
      <c r="C9">
        <v>63</v>
      </c>
      <c r="D9">
        <v>53029</v>
      </c>
      <c r="E9">
        <v>9</v>
      </c>
      <c r="F9">
        <f>VLOOKUP(B9,'Category Reference'!$A$2:$C$7,2,FALSE)</f>
        <v>199</v>
      </c>
      <c r="G9">
        <f>VLOOKUP(B9,'Category Reference'!$A$2:$C$7,3,FALSE)</f>
        <v>1499</v>
      </c>
    </row>
    <row r="10" spans="1:7" x14ac:dyDescent="0.3">
      <c r="A10" t="s">
        <v>13</v>
      </c>
      <c r="B10" t="s">
        <v>6</v>
      </c>
      <c r="C10">
        <v>14</v>
      </c>
      <c r="D10">
        <v>22760</v>
      </c>
      <c r="E10">
        <v>0</v>
      </c>
      <c r="F10">
        <f>VLOOKUP(B10,'Category Reference'!$A$2:$C$7,2,FALSE)</f>
        <v>499</v>
      </c>
      <c r="G10">
        <f>VLOOKUP(B10,'Category Reference'!$A$2:$C$7,3,FALSE)</f>
        <v>2499</v>
      </c>
    </row>
    <row r="11" spans="1:7" x14ac:dyDescent="0.3">
      <c r="A11" t="s">
        <v>13</v>
      </c>
      <c r="B11" t="s">
        <v>7</v>
      </c>
      <c r="C11">
        <v>25</v>
      </c>
      <c r="D11">
        <v>63041</v>
      </c>
      <c r="E11">
        <v>0</v>
      </c>
      <c r="F11">
        <f>VLOOKUP(B11,'Category Reference'!$A$2:$C$7,2,FALSE)</f>
        <v>999</v>
      </c>
      <c r="G11">
        <f>VLOOKUP(B11,'Category Reference'!$A$2:$C$7,3,FALSE)</f>
        <v>4999</v>
      </c>
    </row>
    <row r="12" spans="1:7" x14ac:dyDescent="0.3">
      <c r="A12" t="s">
        <v>13</v>
      </c>
      <c r="B12" t="s">
        <v>8</v>
      </c>
      <c r="C12">
        <v>12</v>
      </c>
      <c r="D12">
        <v>12585</v>
      </c>
      <c r="E12">
        <v>1</v>
      </c>
      <c r="F12">
        <f>VLOOKUP(B12,'Category Reference'!$A$2:$C$7,2,FALSE)</f>
        <v>199</v>
      </c>
      <c r="G12">
        <f>VLOOKUP(B12,'Category Reference'!$A$2:$C$7,3,FALSE)</f>
        <v>1999</v>
      </c>
    </row>
    <row r="13" spans="1:7" x14ac:dyDescent="0.3">
      <c r="A13" t="s">
        <v>13</v>
      </c>
      <c r="B13" t="s">
        <v>12</v>
      </c>
      <c r="C13">
        <v>19</v>
      </c>
      <c r="D13">
        <v>16065</v>
      </c>
      <c r="E13">
        <v>3</v>
      </c>
      <c r="F13">
        <f>VLOOKUP(B13,'Category Reference'!$A$2:$C$7,2,FALSE)</f>
        <v>199</v>
      </c>
      <c r="G13">
        <f>VLOOKUP(B13,'Category Reference'!$A$2:$C$7,3,FALSE)</f>
        <v>1499</v>
      </c>
    </row>
    <row r="14" spans="1:7" x14ac:dyDescent="0.3">
      <c r="A14" t="s">
        <v>13</v>
      </c>
      <c r="B14" t="s">
        <v>10</v>
      </c>
      <c r="C14">
        <v>13</v>
      </c>
      <c r="D14">
        <v>26320</v>
      </c>
      <c r="E14">
        <v>2</v>
      </c>
      <c r="F14">
        <f>VLOOKUP(B14,'Category Reference'!$A$2:$C$7,2,FALSE)</f>
        <v>699</v>
      </c>
      <c r="G14">
        <f>VLOOKUP(B14,'Category Reference'!$A$2:$C$7,3,FALSE)</f>
        <v>3499</v>
      </c>
    </row>
    <row r="15" spans="1:7" x14ac:dyDescent="0.3">
      <c r="A15" t="s">
        <v>14</v>
      </c>
      <c r="B15" t="s">
        <v>7</v>
      </c>
      <c r="C15">
        <v>29</v>
      </c>
      <c r="D15">
        <v>91425</v>
      </c>
      <c r="E15">
        <v>4</v>
      </c>
      <c r="F15">
        <f>VLOOKUP(B15,'Category Reference'!$A$2:$C$7,2,FALSE)</f>
        <v>999</v>
      </c>
      <c r="G15">
        <f>VLOOKUP(B15,'Category Reference'!$A$2:$C$7,3,FALSE)</f>
        <v>4999</v>
      </c>
    </row>
    <row r="16" spans="1:7" x14ac:dyDescent="0.3">
      <c r="A16" t="s">
        <v>14</v>
      </c>
      <c r="B16" t="s">
        <v>8</v>
      </c>
      <c r="C16">
        <v>27</v>
      </c>
      <c r="D16">
        <v>29032</v>
      </c>
      <c r="E16">
        <v>3</v>
      </c>
      <c r="F16">
        <f>VLOOKUP(B16,'Category Reference'!$A$2:$C$7,2,FALSE)</f>
        <v>199</v>
      </c>
      <c r="G16">
        <f>VLOOKUP(B16,'Category Reference'!$A$2:$C$7,3,FALSE)</f>
        <v>1999</v>
      </c>
    </row>
    <row r="17" spans="1:7" x14ac:dyDescent="0.3">
      <c r="A17" t="s">
        <v>14</v>
      </c>
      <c r="B17" t="s">
        <v>12</v>
      </c>
      <c r="C17">
        <v>13</v>
      </c>
      <c r="D17">
        <v>11743</v>
      </c>
      <c r="E17">
        <v>1</v>
      </c>
      <c r="F17">
        <f>VLOOKUP(B17,'Category Reference'!$A$2:$C$7,2,FALSE)</f>
        <v>199</v>
      </c>
      <c r="G17">
        <f>VLOOKUP(B17,'Category Reference'!$A$2:$C$7,3,FALSE)</f>
        <v>1499</v>
      </c>
    </row>
    <row r="18" spans="1:7" x14ac:dyDescent="0.3">
      <c r="A18" t="s">
        <v>14</v>
      </c>
      <c r="B18" t="s">
        <v>9</v>
      </c>
      <c r="C18">
        <v>23</v>
      </c>
      <c r="D18">
        <v>22289</v>
      </c>
      <c r="E18">
        <v>5</v>
      </c>
      <c r="F18">
        <f>VLOOKUP(B18,'Category Reference'!$A$2:$C$7,2,FALSE)</f>
        <v>349</v>
      </c>
      <c r="G18">
        <f>VLOOKUP(B18,'Category Reference'!$A$2:$C$7,3,FALSE)</f>
        <v>1499</v>
      </c>
    </row>
    <row r="19" spans="1:7" x14ac:dyDescent="0.3">
      <c r="A19" t="s">
        <v>14</v>
      </c>
      <c r="B19" t="s">
        <v>10</v>
      </c>
      <c r="C19">
        <v>6</v>
      </c>
      <c r="D19">
        <v>17149</v>
      </c>
      <c r="E19">
        <v>1</v>
      </c>
      <c r="F19">
        <f>VLOOKUP(B19,'Category Reference'!$A$2:$C$7,2,FALSE)</f>
        <v>699</v>
      </c>
      <c r="G19">
        <f>VLOOKUP(B19,'Category Reference'!$A$2:$C$7,3,FALSE)</f>
        <v>3499</v>
      </c>
    </row>
    <row r="20" spans="1:7" x14ac:dyDescent="0.3">
      <c r="A20" t="s">
        <v>15</v>
      </c>
      <c r="B20" t="s">
        <v>6</v>
      </c>
      <c r="C20">
        <v>20</v>
      </c>
      <c r="D20">
        <v>29050</v>
      </c>
      <c r="E20">
        <v>4</v>
      </c>
      <c r="F20">
        <f>VLOOKUP(B20,'Category Reference'!$A$2:$C$7,2,FALSE)</f>
        <v>499</v>
      </c>
      <c r="G20">
        <f>VLOOKUP(B20,'Category Reference'!$A$2:$C$7,3,FALSE)</f>
        <v>2499</v>
      </c>
    </row>
    <row r="21" spans="1:7" x14ac:dyDescent="0.3">
      <c r="A21" t="s">
        <v>15</v>
      </c>
      <c r="B21" t="s">
        <v>7</v>
      </c>
      <c r="C21">
        <v>28</v>
      </c>
      <c r="D21">
        <v>73938</v>
      </c>
      <c r="E21">
        <v>1</v>
      </c>
      <c r="F21">
        <f>VLOOKUP(B21,'Category Reference'!$A$2:$C$7,2,FALSE)</f>
        <v>999</v>
      </c>
      <c r="G21">
        <f>VLOOKUP(B21,'Category Reference'!$A$2:$C$7,3,FALSE)</f>
        <v>4999</v>
      </c>
    </row>
    <row r="22" spans="1:7" x14ac:dyDescent="0.3">
      <c r="A22" t="s">
        <v>15</v>
      </c>
      <c r="B22" t="s">
        <v>8</v>
      </c>
      <c r="C22">
        <v>11</v>
      </c>
      <c r="D22">
        <v>11360</v>
      </c>
      <c r="E22">
        <v>2</v>
      </c>
      <c r="F22">
        <f>VLOOKUP(B22,'Category Reference'!$A$2:$C$7,2,FALSE)</f>
        <v>199</v>
      </c>
      <c r="G22">
        <f>VLOOKUP(B22,'Category Reference'!$A$2:$C$7,3,FALSE)</f>
        <v>1999</v>
      </c>
    </row>
    <row r="23" spans="1:7" x14ac:dyDescent="0.3">
      <c r="A23" t="s">
        <v>15</v>
      </c>
      <c r="B23" t="s">
        <v>9</v>
      </c>
      <c r="C23">
        <v>27</v>
      </c>
      <c r="D23">
        <v>23901</v>
      </c>
      <c r="E23">
        <v>5</v>
      </c>
      <c r="F23">
        <f>VLOOKUP(B23,'Category Reference'!$A$2:$C$7,2,FALSE)</f>
        <v>349</v>
      </c>
      <c r="G23">
        <f>VLOOKUP(B23,'Category Reference'!$A$2:$C$7,3,FALSE)</f>
        <v>1499</v>
      </c>
    </row>
    <row r="24" spans="1:7" x14ac:dyDescent="0.3">
      <c r="A24" t="s">
        <v>15</v>
      </c>
      <c r="B24" t="s">
        <v>10</v>
      </c>
      <c r="C24">
        <v>6</v>
      </c>
      <c r="D24">
        <v>13181</v>
      </c>
      <c r="E24">
        <v>1</v>
      </c>
      <c r="F24">
        <f>VLOOKUP(B24,'Category Reference'!$A$2:$C$7,2,FALSE)</f>
        <v>699</v>
      </c>
      <c r="G24">
        <f>VLOOKUP(B24,'Category Reference'!$A$2:$C$7,3,FALSE)</f>
        <v>3499</v>
      </c>
    </row>
    <row r="25" spans="1:7" x14ac:dyDescent="0.3">
      <c r="A25" t="s">
        <v>16</v>
      </c>
      <c r="B25" t="s">
        <v>7</v>
      </c>
      <c r="C25">
        <v>39</v>
      </c>
      <c r="D25">
        <v>121469</v>
      </c>
      <c r="E25">
        <v>9</v>
      </c>
      <c r="F25">
        <f>VLOOKUP(B25,'Category Reference'!$A$2:$C$7,2,FALSE)</f>
        <v>999</v>
      </c>
      <c r="G25">
        <f>VLOOKUP(B25,'Category Reference'!$A$2:$C$7,3,FALSE)</f>
        <v>4999</v>
      </c>
    </row>
    <row r="26" spans="1:7" x14ac:dyDescent="0.3">
      <c r="A26" t="s">
        <v>16</v>
      </c>
      <c r="B26" t="s">
        <v>8</v>
      </c>
      <c r="C26">
        <v>30</v>
      </c>
      <c r="D26">
        <v>30778</v>
      </c>
      <c r="E26">
        <v>3</v>
      </c>
      <c r="F26">
        <f>VLOOKUP(B26,'Category Reference'!$A$2:$C$7,2,FALSE)</f>
        <v>199</v>
      </c>
      <c r="G26">
        <f>VLOOKUP(B26,'Category Reference'!$A$2:$C$7,3,FALSE)</f>
        <v>1999</v>
      </c>
    </row>
    <row r="27" spans="1:7" x14ac:dyDescent="0.3">
      <c r="A27" t="s">
        <v>16</v>
      </c>
      <c r="B27" t="s">
        <v>9</v>
      </c>
      <c r="C27">
        <v>14</v>
      </c>
      <c r="D27">
        <v>13808</v>
      </c>
      <c r="E27">
        <v>1</v>
      </c>
      <c r="F27">
        <f>VLOOKUP(B27,'Category Reference'!$A$2:$C$7,2,FALSE)</f>
        <v>349</v>
      </c>
      <c r="G27">
        <f>VLOOKUP(B27,'Category Reference'!$A$2:$C$7,3,FALSE)</f>
        <v>1499</v>
      </c>
    </row>
    <row r="28" spans="1:7" x14ac:dyDescent="0.3">
      <c r="A28" t="s">
        <v>16</v>
      </c>
      <c r="B28" t="s">
        <v>10</v>
      </c>
      <c r="C28">
        <v>24</v>
      </c>
      <c r="D28">
        <v>62672</v>
      </c>
      <c r="E28">
        <v>1</v>
      </c>
      <c r="F28">
        <f>VLOOKUP(B28,'Category Reference'!$A$2:$C$7,2,FALSE)</f>
        <v>699</v>
      </c>
      <c r="G28">
        <f>VLOOKUP(B28,'Category Reference'!$A$2:$C$7,3,FALSE)</f>
        <v>3499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AFB0-A2AA-443B-B79D-E5A54F516C36}">
  <dimension ref="A1:C7"/>
  <sheetViews>
    <sheetView workbookViewId="0">
      <selection activeCell="B1" sqref="B1:B1048576"/>
    </sheetView>
  </sheetViews>
  <sheetFormatPr defaultRowHeight="14.4" x14ac:dyDescent="0.3"/>
  <cols>
    <col min="1" max="1" width="13.77734375" customWidth="1"/>
    <col min="2" max="2" width="14.77734375" customWidth="1"/>
    <col min="3" max="3" width="19.88671875" customWidth="1"/>
  </cols>
  <sheetData>
    <row r="1" spans="1:3" x14ac:dyDescent="0.3">
      <c r="A1" t="s">
        <v>1</v>
      </c>
      <c r="B1" t="s">
        <v>17</v>
      </c>
      <c r="C1" t="s">
        <v>18</v>
      </c>
    </row>
    <row r="2" spans="1:3" x14ac:dyDescent="0.3">
      <c r="A2" t="s">
        <v>6</v>
      </c>
      <c r="B2">
        <v>499</v>
      </c>
      <c r="C2">
        <v>2499</v>
      </c>
    </row>
    <row r="3" spans="1:3" x14ac:dyDescent="0.3">
      <c r="A3" t="s">
        <v>10</v>
      </c>
      <c r="B3">
        <v>699</v>
      </c>
      <c r="C3">
        <v>3499</v>
      </c>
    </row>
    <row r="4" spans="1:3" x14ac:dyDescent="0.3">
      <c r="A4" t="s">
        <v>9</v>
      </c>
      <c r="B4">
        <v>349</v>
      </c>
      <c r="C4">
        <v>1499</v>
      </c>
    </row>
    <row r="5" spans="1:3" x14ac:dyDescent="0.3">
      <c r="A5" t="s">
        <v>7</v>
      </c>
      <c r="B5">
        <v>999</v>
      </c>
      <c r="C5">
        <v>4999</v>
      </c>
    </row>
    <row r="6" spans="1:3" x14ac:dyDescent="0.3">
      <c r="A6" t="s">
        <v>12</v>
      </c>
      <c r="B6">
        <v>199</v>
      </c>
      <c r="C6">
        <v>1499</v>
      </c>
    </row>
    <row r="7" spans="1:3" x14ac:dyDescent="0.3">
      <c r="A7" t="s">
        <v>8</v>
      </c>
      <c r="B7">
        <v>199</v>
      </c>
      <c r="C7">
        <v>1999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361CE-B59F-4F8E-96DE-F131D8D12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city_category_summary</vt:lpstr>
      <vt:lpstr>Revenue Pivot</vt:lpstr>
      <vt:lpstr>KPI Summary</vt:lpstr>
      <vt:lpstr>City-Category Data</vt:lpstr>
      <vt:lpstr>Category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Kavya</dc:creator>
  <cp:lastModifiedBy>K Kavya</cp:lastModifiedBy>
  <dcterms:created xsi:type="dcterms:W3CDTF">2026-09-22T12:20:55Z</dcterms:created>
  <dcterms:modified xsi:type="dcterms:W3CDTF">2026-09-22T14:12:48Z</dcterms:modified>
</cp:coreProperties>
</file>